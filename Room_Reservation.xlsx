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6" rupBuild="10713"/>
  <workbookPr/>
  <mc:AlternateContent xmlns:mc="http://schemas.openxmlformats.org/markup-compatibility/2006">
    <mc:Choice Requires="x15">
      <x15ac:absPath xmlns:x15ac="http://schemas.microsoft.com/office/spreadsheetml/2010/11/ac" url="/Users/belltiger/Elgrace_Summer/"/>
    </mc:Choice>
  </mc:AlternateContent>
  <xr:revisionPtr revIDLastSave="0" documentId="13_ncr:1_{A690E0F5-4DC9-584A-BF2D-F6A942A9A56F}" xr6:coauthVersionLast="47" xr6:coauthVersionMax="47" xr10:uidLastSave="{00000000-0000-0000-0000-000000000000}"/>
  <bookViews>
    <workbookView xWindow="0" yWindow="660" windowWidth="28800" windowHeight="17460" xr2:uid="{00000000-000D-0000-FFFF-FFFF00000000}"/>
  </bookViews>
  <sheets>
    <sheet name="객실배치도" sheetId="1" r:id="rId1"/>
  </sheets>
  <definedNames>
    <definedName name="_xlnm.Print_Area" localSheetId="0">객실배치도!$B$1:$O$29</definedName>
  </definedNames>
  <calcPr calcId="191029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Q29" i="1" l="1"/>
  <c r="Q26" i="1"/>
  <c r="Q22" i="1"/>
  <c r="Q19" i="1"/>
  <c r="Q15" i="1"/>
  <c r="Q12" i="1"/>
  <c r="Q7" i="1"/>
  <c r="Q4" i="1"/>
  <c r="Q30" i="1" l="1"/>
</calcChain>
</file>

<file path=xl/sharedStrings.xml><?xml version="1.0" encoding="utf-8"?>
<sst xmlns="http://schemas.openxmlformats.org/spreadsheetml/2006/main" count="109" uniqueCount="102">
  <si>
    <t>▣ 객실 배정표</t>
    <phoneticPr fontId="2" type="noConversion"/>
  </si>
  <si>
    <t>▶ 휴락동 2층 객실</t>
    <phoneticPr fontId="2" type="noConversion"/>
  </si>
  <si>
    <t>207호</t>
    <phoneticPr fontId="2" type="noConversion"/>
  </si>
  <si>
    <t>206호</t>
    <phoneticPr fontId="2" type="noConversion"/>
  </si>
  <si>
    <t>205호</t>
    <phoneticPr fontId="2" type="noConversion"/>
  </si>
  <si>
    <t>203호(온돌)</t>
    <phoneticPr fontId="2" type="noConversion"/>
  </si>
  <si>
    <t>202호(온돌)</t>
    <phoneticPr fontId="2" type="noConversion"/>
  </si>
  <si>
    <t>201호(온돌)</t>
    <phoneticPr fontId="2" type="noConversion"/>
  </si>
  <si>
    <t>223호(온돌)</t>
    <phoneticPr fontId="2" type="noConversion"/>
  </si>
  <si>
    <t>222호(온돌)</t>
    <phoneticPr fontId="2" type="noConversion"/>
  </si>
  <si>
    <t>221호(온돌)</t>
    <phoneticPr fontId="2" type="noConversion"/>
  </si>
  <si>
    <t>220호(온돌)</t>
    <phoneticPr fontId="2" type="noConversion"/>
  </si>
  <si>
    <t>당직실</t>
    <phoneticPr fontId="2" type="noConversion"/>
  </si>
  <si>
    <t>비품실</t>
    <phoneticPr fontId="2" type="noConversion"/>
  </si>
  <si>
    <t>복   도</t>
    <phoneticPr fontId="2" type="noConversion"/>
  </si>
  <si>
    <t>208호</t>
    <phoneticPr fontId="2" type="noConversion"/>
  </si>
  <si>
    <t>209호</t>
    <phoneticPr fontId="2" type="noConversion"/>
  </si>
  <si>
    <t>210호</t>
    <phoneticPr fontId="2" type="noConversion"/>
  </si>
  <si>
    <t>211호(온돌)</t>
    <phoneticPr fontId="2" type="noConversion"/>
  </si>
  <si>
    <t>212호(온돌)</t>
  </si>
  <si>
    <t>213호(온돌)</t>
  </si>
  <si>
    <t>214호(온돌)</t>
    <phoneticPr fontId="2" type="noConversion"/>
  </si>
  <si>
    <t>215호(온돌)</t>
  </si>
  <si>
    <t>216호(온돌)</t>
  </si>
  <si>
    <t>217호(온돌)</t>
  </si>
  <si>
    <t>218호(온돌)</t>
  </si>
  <si>
    <t>219호(온돌)</t>
  </si>
  <si>
    <t>미화원실</t>
    <phoneticPr fontId="2" type="noConversion"/>
  </si>
  <si>
    <t>▶ 휴락동 3층 객실</t>
    <phoneticPr fontId="2" type="noConversion"/>
  </si>
  <si>
    <t>307호(온돌)</t>
    <phoneticPr fontId="2" type="noConversion"/>
  </si>
  <si>
    <t>306호(온돌)</t>
    <phoneticPr fontId="2" type="noConversion"/>
  </si>
  <si>
    <t>305호(온돌)</t>
    <phoneticPr fontId="2" type="noConversion"/>
  </si>
  <si>
    <t>304호(온돌)</t>
    <phoneticPr fontId="2" type="noConversion"/>
  </si>
  <si>
    <t>303호(온돌)</t>
    <phoneticPr fontId="2" type="noConversion"/>
  </si>
  <si>
    <t>302호(온돌)</t>
    <phoneticPr fontId="2" type="noConversion"/>
  </si>
  <si>
    <t>301호(온돌)</t>
    <phoneticPr fontId="2" type="noConversion"/>
  </si>
  <si>
    <t>325호(온돌)</t>
    <phoneticPr fontId="2" type="noConversion"/>
  </si>
  <si>
    <t>324호(온돌)</t>
    <phoneticPr fontId="2" type="noConversion"/>
  </si>
  <si>
    <t>323호(온돌)</t>
    <phoneticPr fontId="2" type="noConversion"/>
  </si>
  <si>
    <t>322호</t>
    <phoneticPr fontId="2" type="noConversion"/>
  </si>
  <si>
    <t>조리원실</t>
    <phoneticPr fontId="2" type="noConversion"/>
  </si>
  <si>
    <t>`</t>
    <phoneticPr fontId="2" type="noConversion"/>
  </si>
  <si>
    <t xml:space="preserve"> </t>
    <phoneticPr fontId="2" type="noConversion"/>
  </si>
  <si>
    <t>식당 →</t>
    <phoneticPr fontId="2" type="noConversion"/>
  </si>
  <si>
    <t>308호(온돌)</t>
    <phoneticPr fontId="2" type="noConversion"/>
  </si>
  <si>
    <t>309호(온돌)</t>
  </si>
  <si>
    <t>310호(온돌)</t>
  </si>
  <si>
    <t>311호(온돌)</t>
  </si>
  <si>
    <t>312호(온돌)</t>
  </si>
  <si>
    <t>313호(온돌)</t>
  </si>
  <si>
    <t>314호(온돌)</t>
  </si>
  <si>
    <t>315호(온돌)</t>
  </si>
  <si>
    <t>316호(온돌)</t>
  </si>
  <si>
    <t>317호(온돌)</t>
  </si>
  <si>
    <t>318호(온돌)</t>
  </si>
  <si>
    <t>319호(온돌)</t>
  </si>
  <si>
    <t>320호(온돌)</t>
  </si>
  <si>
    <t>321호(온돌)</t>
  </si>
  <si>
    <t>▶ 휴락동 4층 객실</t>
    <phoneticPr fontId="2" type="noConversion"/>
  </si>
  <si>
    <t>407호(침대/2)</t>
    <phoneticPr fontId="2" type="noConversion"/>
  </si>
  <si>
    <t>406호(침대/2)</t>
    <phoneticPr fontId="2" type="noConversion"/>
  </si>
  <si>
    <t>405호(침대/2)</t>
    <phoneticPr fontId="2" type="noConversion"/>
  </si>
  <si>
    <t>404호(침대/2)</t>
    <phoneticPr fontId="2" type="noConversion"/>
  </si>
  <si>
    <t>403호(침대/2)</t>
    <phoneticPr fontId="2" type="noConversion"/>
  </si>
  <si>
    <t>402호(침대/2)</t>
    <phoneticPr fontId="2" type="noConversion"/>
  </si>
  <si>
    <t>401호(침대/2)</t>
    <phoneticPr fontId="2" type="noConversion"/>
  </si>
  <si>
    <t>425호(침대/2)</t>
    <phoneticPr fontId="2" type="noConversion"/>
  </si>
  <si>
    <t>424호(침대/2)</t>
    <phoneticPr fontId="2" type="noConversion"/>
  </si>
  <si>
    <t>423호(침대/1)</t>
    <phoneticPr fontId="2" type="noConversion"/>
  </si>
  <si>
    <t>422호(침대/1)</t>
    <phoneticPr fontId="2" type="noConversion"/>
  </si>
  <si>
    <t xml:space="preserve">  </t>
    <phoneticPr fontId="2" type="noConversion"/>
  </si>
  <si>
    <t>408호(온돌)</t>
    <phoneticPr fontId="2" type="noConversion"/>
  </si>
  <si>
    <t>409호(온돌)</t>
  </si>
  <si>
    <t>410호(온돌)</t>
  </si>
  <si>
    <t>411호(온돌)</t>
  </si>
  <si>
    <t>412호(온돌)</t>
  </si>
  <si>
    <t>413호(온돌)</t>
  </si>
  <si>
    <t>414호(온돌)</t>
  </si>
  <si>
    <t>415호(온돌)</t>
  </si>
  <si>
    <t>416호(온돌)</t>
  </si>
  <si>
    <t>417호(온돌)</t>
  </si>
  <si>
    <t>418호(온돌)</t>
  </si>
  <si>
    <t>419호(온돌)</t>
  </si>
  <si>
    <t>420호(온돌)</t>
  </si>
  <si>
    <t>421호(온돌)</t>
  </si>
  <si>
    <t>▶ 동락홀 2층 객실</t>
    <phoneticPr fontId="2" type="noConversion"/>
  </si>
  <si>
    <t>공동화장실</t>
    <phoneticPr fontId="2" type="noConversion"/>
  </si>
  <si>
    <t>210호(전기온돌) 12인실</t>
    <phoneticPr fontId="2" type="noConversion"/>
  </si>
  <si>
    <t>208호(전기온돌) 6인실</t>
    <phoneticPr fontId="2" type="noConversion"/>
  </si>
  <si>
    <t>206호(전기온돌) 6인실</t>
    <phoneticPr fontId="2" type="noConversion"/>
  </si>
  <si>
    <t>204호(전기온돌) 6인실</t>
    <phoneticPr fontId="2" type="noConversion"/>
  </si>
  <si>
    <t>202호(전기온돌) 6인실</t>
    <phoneticPr fontId="2" type="noConversion"/>
  </si>
  <si>
    <t>복  도</t>
    <phoneticPr fontId="2" type="noConversion"/>
  </si>
  <si>
    <t>계단</t>
    <phoneticPr fontId="2" type="noConversion"/>
  </si>
  <si>
    <t>209호(전기온돌) 12인실</t>
    <phoneticPr fontId="2" type="noConversion"/>
  </si>
  <si>
    <t>207호(전기온돌) 6인실</t>
    <phoneticPr fontId="2" type="noConversion"/>
  </si>
  <si>
    <t>205호(전기온돌) 6인실</t>
    <phoneticPr fontId="2" type="noConversion"/>
  </si>
  <si>
    <t>203호(전기온돌) 6인실</t>
    <phoneticPr fontId="2" type="noConversion"/>
  </si>
  <si>
    <t>201호(전기온돌) 6인실</t>
    <phoneticPr fontId="2" type="noConversion"/>
  </si>
  <si>
    <t>…</t>
    <phoneticPr fontId="2" type="noConversion"/>
  </si>
  <si>
    <t>일정 : 26.7.27~30</t>
    <phoneticPr fontId="2" type="noConversion"/>
  </si>
  <si>
    <t>204호</t>
    <phoneticPr fontId="2" type="noConversion"/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</si>
</sst>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1">
    <numFmt numFmtId="176" formatCode="mm&quot;월&quot;\ dd&quot;일&quot;"/>
  </numFmts>
  <fonts count="18">
    <font>
      <sz val="11"/>
      <color theme="1"/>
      <name val="맑은 고딕"/>
      <family val="2"/>
      <charset val="129"/>
      <scheme val="minor"/>
    </font>
    <font>
      <b/>
      <i/>
      <sz val="24"/>
      <color theme="1"/>
      <name val="맑은 고딕"/>
      <family val="3"/>
      <charset val="129"/>
      <scheme val="minor"/>
    </font>
    <font>
      <sz val="8"/>
      <name val="맑은 고딕"/>
      <family val="2"/>
      <charset val="129"/>
      <scheme val="minor"/>
    </font>
    <font>
      <b/>
      <i/>
      <sz val="22"/>
      <color theme="1"/>
      <name val="맑은 고딕"/>
      <family val="3"/>
      <charset val="129"/>
      <scheme val="minor"/>
    </font>
    <font>
      <sz val="11"/>
      <color theme="1"/>
      <name val="맑은 고딕"/>
      <family val="3"/>
      <charset val="129"/>
      <scheme val="minor"/>
    </font>
    <font>
      <b/>
      <sz val="16"/>
      <color rgb="FF0000FF"/>
      <name val="맑은 고딕"/>
      <family val="3"/>
      <charset val="129"/>
      <scheme val="minor"/>
    </font>
    <font>
      <b/>
      <sz val="22"/>
      <color theme="1"/>
      <name val="맑은 고딕"/>
      <family val="3"/>
      <charset val="129"/>
      <scheme val="minor"/>
    </font>
    <font>
      <sz val="24"/>
      <color theme="1"/>
      <name val="맑은 고딕"/>
      <family val="3"/>
      <charset val="129"/>
      <scheme val="minor"/>
    </font>
    <font>
      <b/>
      <sz val="13"/>
      <color theme="1"/>
      <name val="맑은 고딕"/>
      <family val="3"/>
      <charset val="129"/>
      <scheme val="minor"/>
    </font>
    <font>
      <b/>
      <sz val="20"/>
      <color theme="1"/>
      <name val="맑은 고딕"/>
      <family val="3"/>
      <charset val="129"/>
      <scheme val="minor"/>
    </font>
    <font>
      <b/>
      <sz val="24"/>
      <color theme="1"/>
      <name val="맑은 고딕"/>
      <family val="3"/>
      <charset val="129"/>
      <scheme val="minor"/>
    </font>
    <font>
      <b/>
      <sz val="12"/>
      <color theme="1"/>
      <name val="맑은 고딕"/>
      <family val="3"/>
      <charset val="129"/>
      <scheme val="minor"/>
    </font>
    <font>
      <b/>
      <sz val="18"/>
      <color theme="1"/>
      <name val="맑은 고딕"/>
      <family val="3"/>
      <charset val="129"/>
      <scheme val="minor"/>
    </font>
    <font>
      <b/>
      <sz val="14"/>
      <color rgb="FFFF0000"/>
      <name val="맑은 고딕"/>
      <family val="3"/>
      <charset val="129"/>
      <scheme val="minor"/>
    </font>
    <font>
      <b/>
      <sz val="14"/>
      <color theme="1"/>
      <name val="맑은 고딕"/>
      <family val="3"/>
      <charset val="129"/>
      <scheme val="minor"/>
    </font>
    <font>
      <sz val="12"/>
      <color theme="1"/>
      <name val="맑은 고딕"/>
      <family val="3"/>
      <charset val="129"/>
      <scheme val="minor"/>
    </font>
    <font>
      <b/>
      <sz val="11"/>
      <color theme="1"/>
      <name val="맑은 고딕"/>
      <family val="3"/>
      <charset val="129"/>
      <scheme val="minor"/>
    </font>
    <font>
      <b/>
      <sz val="16"/>
      <color theme="1"/>
      <name val="맑은 고딕"/>
      <family val="3"/>
      <charset val="129"/>
      <scheme val="minor"/>
    </font>
  </fonts>
  <fills count="4">
    <fill>
      <patternFill patternType="none"/>
    </fill>
    <fill>
      <patternFill patternType="gray125"/>
    </fill>
    <fill>
      <patternFill patternType="solid">
        <fgColor rgb="FFFFFF00"/>
        <bgColor indexed="64"/>
      </patternFill>
    </fill>
    <fill>
      <patternFill patternType="solid">
        <fgColor theme="0"/>
        <bgColor indexed="64"/>
      </patternFill>
    </fill>
  </fills>
  <borders count="37">
    <border>
      <left/>
      <right/>
      <top/>
      <bottom/>
      <diagonal/>
    </border>
    <border>
      <left/>
      <right/>
      <top/>
      <bottom style="medium">
        <color auto="1"/>
      </bottom>
      <diagonal/>
    </border>
    <border>
      <left style="medium">
        <color auto="1"/>
      </left>
      <right style="thin">
        <color auto="1"/>
      </right>
      <top style="medium">
        <color auto="1"/>
      </top>
      <bottom style="thin">
        <color auto="1"/>
      </bottom>
      <diagonal/>
    </border>
    <border>
      <left style="thin">
        <color auto="1"/>
      </left>
      <right style="thin">
        <color auto="1"/>
      </right>
      <top style="medium">
        <color auto="1"/>
      </top>
      <bottom style="thin">
        <color indexed="64"/>
      </bottom>
      <diagonal/>
    </border>
    <border>
      <left style="thin">
        <color auto="1"/>
      </left>
      <right/>
      <top style="medium">
        <color auto="1"/>
      </top>
      <bottom style="thin">
        <color indexed="64"/>
      </bottom>
      <diagonal/>
    </border>
    <border>
      <left style="thin">
        <color auto="1"/>
      </left>
      <right style="medium">
        <color auto="1"/>
      </right>
      <top style="medium">
        <color auto="1"/>
      </top>
      <bottom style="thin">
        <color auto="1"/>
      </bottom>
      <diagonal/>
    </border>
    <border diagonalUp="1" diagonalDown="1">
      <left style="medium">
        <color auto="1"/>
      </left>
      <right/>
      <top style="thin">
        <color auto="1"/>
      </top>
      <bottom style="thin">
        <color indexed="64"/>
      </bottom>
      <diagonal style="thin">
        <color auto="1"/>
      </diagonal>
    </border>
    <border diagonalUp="1" diagonalDown="1">
      <left style="thin">
        <color indexed="64"/>
      </left>
      <right style="thin">
        <color indexed="64"/>
      </right>
      <top style="thin">
        <color auto="1"/>
      </top>
      <bottom style="thin">
        <color indexed="64"/>
      </bottom>
      <diagonal style="thin">
        <color auto="1"/>
      </diagonal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auto="1"/>
      </left>
      <right style="thin">
        <color auto="1"/>
      </right>
      <top style="thin">
        <color indexed="64"/>
      </top>
      <bottom/>
      <diagonal/>
    </border>
    <border>
      <left style="thin">
        <color auto="1"/>
      </left>
      <right style="medium">
        <color auto="1"/>
      </right>
      <top style="thin">
        <color auto="1"/>
      </top>
      <bottom style="thin">
        <color indexed="64"/>
      </bottom>
      <diagonal/>
    </border>
    <border>
      <left style="medium">
        <color auto="1"/>
      </left>
      <right/>
      <top/>
      <bottom style="thin">
        <color auto="1"/>
      </bottom>
      <diagonal/>
    </border>
    <border>
      <left/>
      <right/>
      <top/>
      <bottom style="thin">
        <color indexed="64"/>
      </bottom>
      <diagonal/>
    </border>
    <border>
      <left/>
      <right style="medium">
        <color auto="1"/>
      </right>
      <top/>
      <bottom/>
      <diagonal/>
    </border>
    <border>
      <left style="medium">
        <color auto="1"/>
      </left>
      <right style="thin">
        <color auto="1"/>
      </right>
      <top style="thin">
        <color auto="1"/>
      </top>
      <bottom style="thin">
        <color indexed="64"/>
      </bottom>
      <diagonal/>
    </border>
    <border>
      <left style="thin">
        <color indexed="64"/>
      </left>
      <right/>
      <top style="thin">
        <color indexed="64"/>
      </top>
      <bottom style="thin">
        <color indexed="64"/>
      </bottom>
      <diagonal/>
    </border>
    <border diagonalUp="1" diagonalDown="1">
      <left style="thin">
        <color auto="1"/>
      </left>
      <right style="thin">
        <color auto="1"/>
      </right>
      <top/>
      <bottom/>
      <diagonal style="thin">
        <color auto="1"/>
      </diagonal>
    </border>
    <border diagonalUp="1" diagonalDown="1">
      <left style="medium">
        <color indexed="64"/>
      </left>
      <right style="thin">
        <color indexed="64"/>
      </right>
      <top style="thin">
        <color indexed="64"/>
      </top>
      <bottom style="medium">
        <color auto="1"/>
      </bottom>
      <diagonal style="thin">
        <color indexed="64"/>
      </diagonal>
    </border>
    <border diagonalUp="1" diagonalDown="1">
      <left style="thin">
        <color indexed="64"/>
      </left>
      <right style="thin">
        <color indexed="64"/>
      </right>
      <top style="thin">
        <color indexed="64"/>
      </top>
      <bottom style="medium">
        <color auto="1"/>
      </bottom>
      <diagonal style="thin">
        <color indexed="64"/>
      </diagonal>
    </border>
    <border>
      <left style="thin">
        <color indexed="64"/>
      </left>
      <right style="thin">
        <color indexed="64"/>
      </right>
      <top style="thin">
        <color indexed="64"/>
      </top>
      <bottom style="medium">
        <color indexed="64"/>
      </bottom>
      <diagonal/>
    </border>
    <border>
      <left style="thin">
        <color indexed="64"/>
      </left>
      <right/>
      <top/>
      <bottom style="medium">
        <color auto="1"/>
      </bottom>
      <diagonal/>
    </border>
    <border>
      <left/>
      <right style="thin">
        <color indexed="64"/>
      </right>
      <top/>
      <bottom style="medium">
        <color auto="1"/>
      </bottom>
      <diagonal/>
    </border>
    <border>
      <left style="thin">
        <color indexed="64"/>
      </left>
      <right style="medium">
        <color auto="1"/>
      </right>
      <top style="thin">
        <color indexed="64"/>
      </top>
      <bottom style="medium">
        <color auto="1"/>
      </bottom>
      <diagonal/>
    </border>
    <border diagonalUp="1" diagonalDown="1">
      <left style="thin">
        <color auto="1"/>
      </left>
      <right style="medium">
        <color auto="1"/>
      </right>
      <top style="thin">
        <color auto="1"/>
      </top>
      <bottom style="thin">
        <color indexed="64"/>
      </bottom>
      <diagonal style="hair">
        <color auto="1"/>
      </diagonal>
    </border>
    <border>
      <left style="medium">
        <color auto="1"/>
      </left>
      <right/>
      <top style="thin">
        <color auto="1"/>
      </top>
      <bottom style="thin">
        <color auto="1"/>
      </bottom>
      <diagonal/>
    </border>
    <border>
      <left/>
      <right/>
      <top style="thin">
        <color indexed="64"/>
      </top>
      <bottom style="thin">
        <color indexed="64"/>
      </bottom>
      <diagonal/>
    </border>
    <border>
      <left/>
      <right style="medium">
        <color auto="1"/>
      </right>
      <top style="thin">
        <color indexed="64"/>
      </top>
      <bottom style="thin">
        <color indexed="64"/>
      </bottom>
      <diagonal/>
    </border>
    <border>
      <left style="medium">
        <color indexed="64"/>
      </left>
      <right style="thin">
        <color indexed="64"/>
      </right>
      <top style="thin">
        <color indexed="64"/>
      </top>
      <bottom style="medium">
        <color indexed="64"/>
      </bottom>
      <diagonal/>
    </border>
    <border>
      <left/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medium">
        <color auto="1"/>
      </left>
      <right/>
      <top style="medium">
        <color auto="1"/>
      </top>
      <bottom style="thin">
        <color auto="1"/>
      </bottom>
      <diagonal/>
    </border>
    <border>
      <left/>
      <right style="thin">
        <color auto="1"/>
      </right>
      <top style="medium">
        <color auto="1"/>
      </top>
      <bottom style="thin">
        <color indexed="64"/>
      </bottom>
      <diagonal/>
    </border>
    <border>
      <left/>
      <right/>
      <top style="medium">
        <color auto="1"/>
      </top>
      <bottom style="thin">
        <color indexed="64"/>
      </bottom>
      <diagonal/>
    </border>
    <border>
      <left style="medium">
        <color auto="1"/>
      </left>
      <right/>
      <top/>
      <bottom/>
      <diagonal/>
    </border>
    <border>
      <left style="medium">
        <color auto="1"/>
      </left>
      <right/>
      <top/>
      <bottom style="medium">
        <color auto="1"/>
      </bottom>
      <diagonal/>
    </border>
    <border>
      <left style="thin">
        <color indexed="64"/>
      </left>
      <right/>
      <top style="thin">
        <color indexed="64"/>
      </top>
      <bottom style="medium">
        <color auto="1"/>
      </bottom>
      <diagonal/>
    </border>
    <border>
      <left/>
      <right/>
      <top style="thin">
        <color indexed="64"/>
      </top>
      <bottom style="medium">
        <color auto="1"/>
      </bottom>
      <diagonal/>
    </border>
    <border>
      <left/>
      <right style="thin">
        <color indexed="64"/>
      </right>
      <top style="thin">
        <color indexed="64"/>
      </top>
      <bottom style="medium">
        <color auto="1"/>
      </bottom>
      <diagonal/>
    </border>
  </borders>
  <cellStyleXfs count="1">
    <xf numFmtId="0" fontId="0" fillId="0" borderId="0">
      <alignment vertical="center"/>
    </xf>
  </cellStyleXfs>
  <cellXfs count="122">
    <xf numFmtId="0" fontId="0" fillId="0" borderId="0" xfId="0">
      <alignment vertical="center"/>
    </xf>
    <xf numFmtId="0" fontId="1" fillId="0" borderId="0" xfId="0" applyFont="1">
      <alignment vertical="center"/>
    </xf>
    <xf numFmtId="0" fontId="3" fillId="0" borderId="0" xfId="0" applyFont="1">
      <alignment vertical="center"/>
    </xf>
    <xf numFmtId="0" fontId="1" fillId="0" borderId="0" xfId="0" applyFont="1" applyAlignment="1">
      <alignment horizontal="right" vertical="center"/>
    </xf>
    <xf numFmtId="0" fontId="3" fillId="0" borderId="0" xfId="0" applyFont="1" applyAlignment="1">
      <alignment horizontal="right" vertical="center"/>
    </xf>
    <xf numFmtId="0" fontId="4" fillId="0" borderId="0" xfId="0" applyFont="1">
      <alignment vertical="center"/>
    </xf>
    <xf numFmtId="0" fontId="4" fillId="0" borderId="0" xfId="0" applyFont="1" applyAlignment="1">
      <alignment horizontal="center" vertical="center" wrapText="1"/>
    </xf>
    <xf numFmtId="0" fontId="6" fillId="0" borderId="0" xfId="0" applyFont="1">
      <alignment vertical="center"/>
    </xf>
    <xf numFmtId="0" fontId="7" fillId="0" borderId="0" xfId="0" applyFont="1" applyAlignment="1">
      <alignment horizontal="right" vertical="center"/>
    </xf>
    <xf numFmtId="0" fontId="6" fillId="0" borderId="0" xfId="0" applyFont="1" applyAlignment="1">
      <alignment horizontal="right" vertical="center"/>
    </xf>
    <xf numFmtId="0" fontId="8" fillId="0" borderId="0" xfId="0" applyFont="1">
      <alignment vertical="center"/>
    </xf>
    <xf numFmtId="0" fontId="8" fillId="2" borderId="2" xfId="0" applyFont="1" applyFill="1" applyBorder="1" applyAlignment="1">
      <alignment horizontal="center" vertical="center" wrapText="1"/>
    </xf>
    <xf numFmtId="0" fontId="8" fillId="2" borderId="3" xfId="0" applyFont="1" applyFill="1" applyBorder="1" applyAlignment="1">
      <alignment horizontal="center" vertical="center" wrapText="1"/>
    </xf>
    <xf numFmtId="0" fontId="8" fillId="2" borderId="4" xfId="0" applyFont="1" applyFill="1" applyBorder="1" applyAlignment="1">
      <alignment horizontal="center" vertical="center" wrapText="1"/>
    </xf>
    <xf numFmtId="0" fontId="8" fillId="3" borderId="3" xfId="0" applyFont="1" applyFill="1" applyBorder="1" applyAlignment="1">
      <alignment horizontal="center" vertical="center" wrapText="1"/>
    </xf>
    <xf numFmtId="0" fontId="8" fillId="3" borderId="5" xfId="0" applyFont="1" applyFill="1" applyBorder="1" applyAlignment="1">
      <alignment horizontal="center" vertical="center" wrapText="1"/>
    </xf>
    <xf numFmtId="0" fontId="10" fillId="0" borderId="0" xfId="0" applyFont="1" applyAlignment="1">
      <alignment horizontal="right" vertical="center"/>
    </xf>
    <xf numFmtId="0" fontId="11" fillId="2" borderId="6" xfId="0" applyFont="1" applyFill="1" applyBorder="1" applyAlignment="1">
      <alignment horizontal="center" vertical="center" wrapText="1"/>
    </xf>
    <xf numFmtId="0" fontId="11" fillId="2" borderId="7" xfId="0" applyFont="1" applyFill="1" applyBorder="1" applyAlignment="1">
      <alignment horizontal="center" vertical="center" wrapText="1"/>
    </xf>
    <xf numFmtId="0" fontId="9" fillId="3" borderId="8" xfId="0" applyFont="1" applyFill="1" applyBorder="1" applyAlignment="1">
      <alignment horizontal="center" vertical="center" wrapText="1"/>
    </xf>
    <xf numFmtId="0" fontId="9" fillId="3" borderId="10" xfId="0" applyFont="1" applyFill="1" applyBorder="1" applyAlignment="1">
      <alignment horizontal="center" vertical="center" wrapText="1"/>
    </xf>
    <xf numFmtId="0" fontId="12" fillId="0" borderId="0" xfId="0" applyFont="1">
      <alignment vertical="center"/>
    </xf>
    <xf numFmtId="0" fontId="14" fillId="3" borderId="0" xfId="0" applyFont="1" applyFill="1" applyAlignment="1">
      <alignment horizontal="center" vertical="center"/>
    </xf>
    <xf numFmtId="0" fontId="14" fillId="3" borderId="13" xfId="0" applyFont="1" applyFill="1" applyBorder="1" applyAlignment="1">
      <alignment horizontal="center" vertical="center"/>
    </xf>
    <xf numFmtId="0" fontId="8" fillId="2" borderId="14" xfId="0" applyFont="1" applyFill="1" applyBorder="1" applyAlignment="1">
      <alignment horizontal="center" vertical="center" wrapText="1"/>
    </xf>
    <xf numFmtId="0" fontId="8" fillId="2" borderId="8" xfId="0" applyFont="1" applyFill="1" applyBorder="1" applyAlignment="1">
      <alignment horizontal="center" vertical="center" wrapText="1"/>
    </xf>
    <xf numFmtId="0" fontId="8" fillId="2" borderId="15" xfId="0" applyFont="1" applyFill="1" applyBorder="1" applyAlignment="1">
      <alignment horizontal="center" vertical="center" wrapText="1"/>
    </xf>
    <xf numFmtId="0" fontId="8" fillId="3" borderId="15" xfId="0" applyFont="1" applyFill="1" applyBorder="1" applyAlignment="1">
      <alignment horizontal="center" vertical="center" wrapText="1"/>
    </xf>
    <xf numFmtId="0" fontId="8" fillId="3" borderId="16" xfId="0" applyFont="1" applyFill="1" applyBorder="1" applyAlignment="1">
      <alignment horizontal="center" vertical="center" wrapText="1"/>
    </xf>
    <xf numFmtId="0" fontId="8" fillId="3" borderId="8" xfId="0" applyFont="1" applyFill="1" applyBorder="1" applyAlignment="1">
      <alignment horizontal="center" vertical="center" wrapText="1"/>
    </xf>
    <xf numFmtId="0" fontId="8" fillId="3" borderId="10" xfId="0" applyFont="1" applyFill="1" applyBorder="1" applyAlignment="1">
      <alignment horizontal="center" vertical="center" wrapText="1"/>
    </xf>
    <xf numFmtId="0" fontId="15" fillId="0" borderId="0" xfId="0" applyFont="1">
      <alignment vertical="center"/>
    </xf>
    <xf numFmtId="0" fontId="11" fillId="2" borderId="17" xfId="0" applyFont="1" applyFill="1" applyBorder="1" applyAlignment="1">
      <alignment horizontal="center" vertical="center" wrapText="1"/>
    </xf>
    <xf numFmtId="0" fontId="11" fillId="2" borderId="18" xfId="0" applyFont="1" applyFill="1" applyBorder="1" applyAlignment="1">
      <alignment horizontal="center" vertical="center" wrapText="1"/>
    </xf>
    <xf numFmtId="0" fontId="9" fillId="3" borderId="19" xfId="0" applyFont="1" applyFill="1" applyBorder="1" applyAlignment="1">
      <alignment horizontal="center" vertical="center" wrapText="1"/>
    </xf>
    <xf numFmtId="0" fontId="15" fillId="3" borderId="20" xfId="0" applyFont="1" applyFill="1" applyBorder="1" applyAlignment="1">
      <alignment horizontal="center" vertical="center" wrapText="1"/>
    </xf>
    <xf numFmtId="0" fontId="15" fillId="3" borderId="21" xfId="0" applyFont="1" applyFill="1" applyBorder="1" applyAlignment="1">
      <alignment horizontal="center" vertical="center" wrapText="1"/>
    </xf>
    <xf numFmtId="0" fontId="9" fillId="3" borderId="22" xfId="0" applyFont="1" applyFill="1" applyBorder="1" applyAlignment="1">
      <alignment horizontal="center" vertical="center" wrapText="1"/>
    </xf>
    <xf numFmtId="0" fontId="11" fillId="0" borderId="0" xfId="0" applyFont="1" applyAlignment="1">
      <alignment horizontal="center" vertical="center"/>
    </xf>
    <xf numFmtId="0" fontId="4" fillId="0" borderId="0" xfId="0" applyFont="1" applyAlignment="1">
      <alignment horizontal="center" vertical="center"/>
    </xf>
    <xf numFmtId="0" fontId="4" fillId="3" borderId="0" xfId="0" applyFont="1" applyFill="1" applyAlignment="1">
      <alignment horizontal="center" vertical="center"/>
    </xf>
    <xf numFmtId="0" fontId="11" fillId="0" borderId="0" xfId="0" applyFont="1" applyAlignment="1">
      <alignment horizontal="center" vertical="center" wrapText="1"/>
    </xf>
    <xf numFmtId="0" fontId="16" fillId="0" borderId="0" xfId="0" applyFont="1" applyAlignment="1">
      <alignment horizontal="right" vertical="center"/>
    </xf>
    <xf numFmtId="0" fontId="8" fillId="3" borderId="2" xfId="0" applyFont="1" applyFill="1" applyBorder="1" applyAlignment="1">
      <alignment horizontal="center" vertical="center"/>
    </xf>
    <xf numFmtId="0" fontId="8" fillId="3" borderId="3" xfId="0" applyFont="1" applyFill="1" applyBorder="1" applyAlignment="1">
      <alignment horizontal="center" vertical="center"/>
    </xf>
    <xf numFmtId="0" fontId="8" fillId="2" borderId="5" xfId="0" applyFont="1" applyFill="1" applyBorder="1" applyAlignment="1">
      <alignment horizontal="center" vertical="center"/>
    </xf>
    <xf numFmtId="0" fontId="11" fillId="0" borderId="0" xfId="0" applyFont="1" applyAlignment="1">
      <alignment vertical="center" wrapText="1"/>
    </xf>
    <xf numFmtId="0" fontId="9" fillId="3" borderId="14" xfId="0" applyFont="1" applyFill="1" applyBorder="1" applyAlignment="1">
      <alignment horizontal="center" vertical="center" wrapText="1"/>
    </xf>
    <xf numFmtId="0" fontId="11" fillId="2" borderId="23" xfId="0" applyFont="1" applyFill="1" applyBorder="1" applyAlignment="1">
      <alignment horizontal="center" vertical="center" wrapText="1"/>
    </xf>
    <xf numFmtId="0" fontId="6" fillId="0" borderId="0" xfId="0" applyFont="1" applyAlignment="1">
      <alignment vertical="center" wrapText="1"/>
    </xf>
    <xf numFmtId="0" fontId="10" fillId="0" borderId="0" xfId="0" applyFont="1" applyAlignment="1">
      <alignment horizontal="right" vertical="center" wrapText="1"/>
    </xf>
    <xf numFmtId="0" fontId="6" fillId="0" borderId="0" xfId="0" applyFont="1" applyAlignment="1">
      <alignment horizontal="right" vertical="center" wrapText="1"/>
    </xf>
    <xf numFmtId="0" fontId="14" fillId="3" borderId="24" xfId="0" applyFont="1" applyFill="1" applyBorder="1" applyAlignment="1">
      <alignment horizontal="center" vertical="center"/>
    </xf>
    <xf numFmtId="0" fontId="14" fillId="3" borderId="25" xfId="0" applyFont="1" applyFill="1" applyBorder="1" applyAlignment="1">
      <alignment horizontal="center" vertical="center"/>
    </xf>
    <xf numFmtId="0" fontId="14" fillId="3" borderId="12" xfId="0" applyFont="1" applyFill="1" applyBorder="1" applyAlignment="1">
      <alignment horizontal="center" vertical="center"/>
    </xf>
    <xf numFmtId="0" fontId="14" fillId="3" borderId="26" xfId="0" applyFont="1" applyFill="1" applyBorder="1" applyAlignment="1">
      <alignment horizontal="center" vertical="center"/>
    </xf>
    <xf numFmtId="0" fontId="8" fillId="3" borderId="14" xfId="0" applyFont="1" applyFill="1" applyBorder="1" applyAlignment="1">
      <alignment horizontal="center" vertical="center"/>
    </xf>
    <xf numFmtId="0" fontId="8" fillId="3" borderId="8" xfId="0" applyFont="1" applyFill="1" applyBorder="1" applyAlignment="1">
      <alignment horizontal="center" vertical="center"/>
    </xf>
    <xf numFmtId="0" fontId="8" fillId="3" borderId="10" xfId="0" applyFont="1" applyFill="1" applyBorder="1" applyAlignment="1">
      <alignment horizontal="center" vertical="center"/>
    </xf>
    <xf numFmtId="0" fontId="11" fillId="0" borderId="0" xfId="0" applyFont="1">
      <alignment vertical="center"/>
    </xf>
    <xf numFmtId="0" fontId="9" fillId="3" borderId="27" xfId="0" applyFont="1" applyFill="1" applyBorder="1" applyAlignment="1">
      <alignment horizontal="center" vertical="center" wrapText="1"/>
    </xf>
    <xf numFmtId="0" fontId="14" fillId="0" borderId="0" xfId="0" applyFont="1" applyAlignment="1">
      <alignment horizontal="center" vertical="center" wrapText="1"/>
    </xf>
    <xf numFmtId="0" fontId="8" fillId="0" borderId="2" xfId="0" applyFont="1" applyBorder="1" applyAlignment="1">
      <alignment horizontal="center" vertical="center" shrinkToFit="1"/>
    </xf>
    <xf numFmtId="0" fontId="8" fillId="0" borderId="3" xfId="0" applyFont="1" applyBorder="1" applyAlignment="1">
      <alignment horizontal="center" vertical="center" shrinkToFit="1"/>
    </xf>
    <xf numFmtId="0" fontId="8" fillId="0" borderId="5" xfId="0" applyFont="1" applyBorder="1" applyAlignment="1">
      <alignment horizontal="center" vertical="center" shrinkToFit="1"/>
    </xf>
    <xf numFmtId="0" fontId="11" fillId="3" borderId="8" xfId="0" applyFont="1" applyFill="1" applyBorder="1" applyAlignment="1">
      <alignment horizontal="center" vertical="center" wrapText="1"/>
    </xf>
    <xf numFmtId="176" fontId="9" fillId="3" borderId="10" xfId="0" applyNumberFormat="1" applyFont="1" applyFill="1" applyBorder="1" applyAlignment="1">
      <alignment horizontal="center" vertical="center" wrapText="1"/>
    </xf>
    <xf numFmtId="0" fontId="13" fillId="0" borderId="24" xfId="0" applyFont="1" applyBorder="1" applyAlignment="1">
      <alignment horizontal="right" vertical="center"/>
    </xf>
    <xf numFmtId="0" fontId="13" fillId="0" borderId="28" xfId="0" applyFont="1" applyBorder="1" applyAlignment="1">
      <alignment horizontal="right" vertical="center"/>
    </xf>
    <xf numFmtId="0" fontId="13" fillId="0" borderId="25" xfId="0" applyFont="1" applyBorder="1" applyAlignment="1">
      <alignment horizontal="right" vertical="center"/>
    </xf>
    <xf numFmtId="0" fontId="14" fillId="0" borderId="25" xfId="0" applyFont="1" applyBorder="1" applyAlignment="1">
      <alignment horizontal="center" vertical="center"/>
    </xf>
    <xf numFmtId="0" fontId="8" fillId="0" borderId="14" xfId="0" applyFont="1" applyBorder="1" applyAlignment="1">
      <alignment horizontal="center" vertical="center" wrapText="1"/>
    </xf>
    <xf numFmtId="0" fontId="8" fillId="0" borderId="8" xfId="0" applyFont="1" applyBorder="1" applyAlignment="1">
      <alignment horizontal="center" vertical="center" wrapText="1"/>
    </xf>
    <xf numFmtId="0" fontId="12" fillId="3" borderId="0" xfId="0" applyFont="1" applyFill="1">
      <alignment vertical="center"/>
    </xf>
    <xf numFmtId="0" fontId="9" fillId="0" borderId="0" xfId="0" applyFont="1">
      <alignment vertical="center"/>
    </xf>
    <xf numFmtId="0" fontId="14" fillId="0" borderId="32" xfId="0" applyFont="1" applyBorder="1">
      <alignment vertical="center"/>
    </xf>
    <xf numFmtId="0" fontId="14" fillId="0" borderId="0" xfId="0" applyFont="1">
      <alignment vertical="center"/>
    </xf>
    <xf numFmtId="0" fontId="16" fillId="0" borderId="0" xfId="0" applyFont="1" applyAlignment="1">
      <alignment horizontal="center" vertical="center"/>
    </xf>
    <xf numFmtId="0" fontId="6" fillId="2" borderId="0" xfId="0" applyFont="1" applyFill="1">
      <alignment vertical="center"/>
    </xf>
    <xf numFmtId="0" fontId="16" fillId="0" borderId="0" xfId="0" applyFont="1">
      <alignment vertical="center"/>
    </xf>
    <xf numFmtId="0" fontId="9" fillId="3" borderId="19" xfId="0" applyFont="1" applyFill="1" applyBorder="1" applyAlignment="1">
      <alignment horizontal="center" vertical="center" wrapText="1"/>
    </xf>
    <xf numFmtId="0" fontId="9" fillId="3" borderId="22" xfId="0" applyFont="1" applyFill="1" applyBorder="1" applyAlignment="1">
      <alignment horizontal="center" vertical="center" wrapText="1"/>
    </xf>
    <xf numFmtId="0" fontId="9" fillId="0" borderId="0" xfId="0" applyFont="1" applyAlignment="1">
      <alignment horizontal="right" vertical="center"/>
    </xf>
    <xf numFmtId="0" fontId="14" fillId="3" borderId="0" xfId="0" applyFont="1" applyFill="1" applyAlignment="1">
      <alignment horizontal="center" vertical="center"/>
    </xf>
    <xf numFmtId="0" fontId="14" fillId="3" borderId="13" xfId="0" applyFont="1" applyFill="1" applyBorder="1" applyAlignment="1">
      <alignment horizontal="center" vertical="center"/>
    </xf>
    <xf numFmtId="0" fontId="8" fillId="0" borderId="32" xfId="0" applyFont="1" applyBorder="1" applyAlignment="1">
      <alignment horizontal="center" vertical="center"/>
    </xf>
    <xf numFmtId="0" fontId="8" fillId="0" borderId="0" xfId="0" applyFont="1" applyAlignment="1">
      <alignment horizontal="center" vertical="center"/>
    </xf>
    <xf numFmtId="0" fontId="8" fillId="0" borderId="33" xfId="0" applyFont="1" applyBorder="1" applyAlignment="1">
      <alignment horizontal="center" vertical="center"/>
    </xf>
    <xf numFmtId="0" fontId="8" fillId="0" borderId="1" xfId="0" applyFont="1" applyBorder="1" applyAlignment="1">
      <alignment horizontal="center" vertical="center"/>
    </xf>
    <xf numFmtId="0" fontId="8" fillId="3" borderId="15" xfId="0" applyFont="1" applyFill="1" applyBorder="1" applyAlignment="1">
      <alignment horizontal="center" vertical="center"/>
    </xf>
    <xf numFmtId="0" fontId="8" fillId="3" borderId="25" xfId="0" applyFont="1" applyFill="1" applyBorder="1" applyAlignment="1">
      <alignment horizontal="center" vertical="center"/>
    </xf>
    <xf numFmtId="0" fontId="8" fillId="3" borderId="28" xfId="0" applyFont="1" applyFill="1" applyBorder="1" applyAlignment="1">
      <alignment horizontal="center" vertical="center"/>
    </xf>
    <xf numFmtId="0" fontId="8" fillId="3" borderId="8" xfId="0" applyFont="1" applyFill="1" applyBorder="1" applyAlignment="1">
      <alignment horizontal="center" vertical="center"/>
    </xf>
    <xf numFmtId="0" fontId="8" fillId="3" borderId="10" xfId="0" applyFont="1" applyFill="1" applyBorder="1" applyAlignment="1">
      <alignment horizontal="center" vertical="center"/>
    </xf>
    <xf numFmtId="0" fontId="9" fillId="3" borderId="34" xfId="0" applyFont="1" applyFill="1" applyBorder="1" applyAlignment="1">
      <alignment horizontal="center" vertical="center"/>
    </xf>
    <xf numFmtId="0" fontId="9" fillId="3" borderId="35" xfId="0" applyFont="1" applyFill="1" applyBorder="1" applyAlignment="1">
      <alignment horizontal="center" vertical="center"/>
    </xf>
    <xf numFmtId="0" fontId="9" fillId="3" borderId="36" xfId="0" applyFont="1" applyFill="1" applyBorder="1" applyAlignment="1">
      <alignment horizontal="center" vertical="center"/>
    </xf>
    <xf numFmtId="0" fontId="17" fillId="3" borderId="19" xfId="0" applyFont="1" applyFill="1" applyBorder="1" applyAlignment="1">
      <alignment horizontal="center" vertical="center" wrapText="1"/>
    </xf>
    <xf numFmtId="0" fontId="8" fillId="0" borderId="3" xfId="0" applyFont="1" applyBorder="1" applyAlignment="1">
      <alignment horizontal="center" vertical="center"/>
    </xf>
    <xf numFmtId="0" fontId="8" fillId="0" borderId="5" xfId="0" applyFont="1" applyBorder="1" applyAlignment="1">
      <alignment horizontal="center" vertical="center"/>
    </xf>
    <xf numFmtId="0" fontId="9" fillId="3" borderId="15" xfId="0" applyFont="1" applyFill="1" applyBorder="1" applyAlignment="1">
      <alignment horizontal="center" vertical="center" wrapText="1"/>
    </xf>
    <xf numFmtId="0" fontId="9" fillId="3" borderId="25" xfId="0" applyFont="1" applyFill="1" applyBorder="1" applyAlignment="1">
      <alignment horizontal="center" vertical="center" wrapText="1"/>
    </xf>
    <xf numFmtId="0" fontId="9" fillId="3" borderId="28" xfId="0" applyFont="1" applyFill="1" applyBorder="1" applyAlignment="1">
      <alignment horizontal="center" vertical="center" wrapText="1"/>
    </xf>
    <xf numFmtId="0" fontId="12" fillId="3" borderId="8" xfId="0" applyFont="1" applyFill="1" applyBorder="1" applyAlignment="1">
      <alignment horizontal="center" vertical="center" wrapText="1"/>
    </xf>
    <xf numFmtId="0" fontId="9" fillId="3" borderId="8" xfId="0" applyFont="1" applyFill="1" applyBorder="1" applyAlignment="1">
      <alignment horizontal="center" vertical="center" wrapText="1"/>
    </xf>
    <xf numFmtId="0" fontId="9" fillId="3" borderId="10" xfId="0" applyFont="1" applyFill="1" applyBorder="1" applyAlignment="1">
      <alignment horizontal="center" vertical="center" wrapText="1"/>
    </xf>
    <xf numFmtId="0" fontId="14" fillId="3" borderId="12" xfId="0" applyFont="1" applyFill="1" applyBorder="1" applyAlignment="1">
      <alignment horizontal="center" vertical="center"/>
    </xf>
    <xf numFmtId="0" fontId="5" fillId="0" borderId="1" xfId="0" applyFont="1" applyBorder="1" applyAlignment="1">
      <alignment horizontal="left" vertical="center"/>
    </xf>
    <xf numFmtId="0" fontId="9" fillId="3" borderId="3" xfId="0" applyFont="1" applyFill="1" applyBorder="1" applyAlignment="1">
      <alignment horizontal="center" vertical="center" wrapText="1"/>
    </xf>
    <xf numFmtId="0" fontId="9" fillId="3" borderId="3" xfId="0" applyFont="1" applyFill="1" applyBorder="1" applyAlignment="1">
      <alignment horizontal="center" vertical="center"/>
    </xf>
    <xf numFmtId="0" fontId="9" fillId="3" borderId="9" xfId="0" applyFont="1" applyFill="1" applyBorder="1" applyAlignment="1">
      <alignment horizontal="center" vertical="center"/>
    </xf>
    <xf numFmtId="0" fontId="14" fillId="0" borderId="12" xfId="0" applyFont="1" applyBorder="1" applyAlignment="1">
      <alignment horizontal="center" vertical="center"/>
    </xf>
    <xf numFmtId="0" fontId="14" fillId="0" borderId="29" xfId="0" applyFont="1" applyBorder="1" applyAlignment="1">
      <alignment horizontal="center" vertical="center" wrapText="1"/>
    </xf>
    <xf numFmtId="0" fontId="14" fillId="0" borderId="30" xfId="0" applyFont="1" applyBorder="1" applyAlignment="1">
      <alignment horizontal="center" vertical="center" wrapText="1"/>
    </xf>
    <xf numFmtId="0" fontId="14" fillId="0" borderId="24" xfId="0" applyFont="1" applyBorder="1" applyAlignment="1">
      <alignment horizontal="center" vertical="center" wrapText="1"/>
    </xf>
    <xf numFmtId="0" fontId="14" fillId="0" borderId="28" xfId="0" applyFont="1" applyBorder="1" applyAlignment="1">
      <alignment horizontal="center" vertical="center" wrapText="1"/>
    </xf>
    <xf numFmtId="0" fontId="8" fillId="0" borderId="4" xfId="0" applyFont="1" applyBorder="1" applyAlignment="1">
      <alignment horizontal="center" vertical="center"/>
    </xf>
    <xf numFmtId="0" fontId="8" fillId="0" borderId="31" xfId="0" applyFont="1" applyBorder="1" applyAlignment="1">
      <alignment horizontal="center" vertical="center"/>
    </xf>
    <xf numFmtId="0" fontId="8" fillId="0" borderId="30" xfId="0" applyFont="1" applyBorder="1" applyAlignment="1">
      <alignment horizontal="center" vertical="center"/>
    </xf>
    <xf numFmtId="0" fontId="5" fillId="0" borderId="1" xfId="0" applyFont="1" applyBorder="1" applyAlignment="1">
      <alignment horizontal="left" vertical="center" wrapText="1"/>
    </xf>
    <xf numFmtId="0" fontId="13" fillId="0" borderId="11" xfId="0" applyFont="1" applyBorder="1" applyAlignment="1">
      <alignment horizontal="center" vertical="center"/>
    </xf>
    <xf numFmtId="0" fontId="13" fillId="0" borderId="12" xfId="0" applyFont="1" applyBorder="1" applyAlignment="1">
      <alignment horizontal="center" vertical="center"/>
    </xf>
  </cellXfs>
  <cellStyles count="1">
    <cellStyle name="표준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styles" Target="styles.xml"/><Relationship Id="rId2" Type="http://schemas.openxmlformats.org/officeDocument/2006/relationships/theme" Target="theme/theme1.xml"/><Relationship Id="rId1" Type="http://schemas.openxmlformats.org/officeDocument/2006/relationships/worksheet" Target="worksheets/sheet1.xml"/><Relationship Id="rId5" Type="http://schemas.openxmlformats.org/officeDocument/2006/relationships/calcChain" Target="calcChain.xml"/><Relationship Id="rId4" Type="http://schemas.openxmlformats.org/officeDocument/2006/relationships/sharedStrings" Target="sharedStrings.xml"/></Relationships>
</file>

<file path=xl/theme/theme1.xml><?xml version="1.0" encoding="utf-8"?>
<a:theme xmlns:a="http://schemas.openxmlformats.org/drawingml/2006/main" name="Office 테마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W36"/>
  <sheetViews>
    <sheetView showGridLines="0" tabSelected="1" zoomScale="70" zoomScaleNormal="70" workbookViewId="0">
      <selection activeCell="D3" sqref="D3"/>
    </sheetView>
  </sheetViews>
  <sheetFormatPr baseColWidth="10" defaultColWidth="9" defaultRowHeight="35"/>
  <cols>
    <col min="1" max="1" width="3.6640625" style="5" customWidth="1"/>
    <col min="2" max="15" width="15.6640625" style="39" customWidth="1"/>
    <col min="16" max="16" width="7.6640625" style="5" customWidth="1"/>
    <col min="17" max="17" width="10.6640625" style="7" customWidth="1"/>
    <col min="18" max="19" width="9" style="8"/>
    <col min="20" max="21" width="9" style="9"/>
    <col min="22" max="16384" width="9" style="5"/>
  </cols>
  <sheetData>
    <row r="1" spans="1:23" s="2" customFormat="1" ht="42.25" customHeight="1">
      <c r="A1" s="1"/>
      <c r="B1" s="1" t="s">
        <v>0</v>
      </c>
      <c r="C1" s="1"/>
      <c r="D1" s="1"/>
      <c r="E1" s="1"/>
      <c r="F1" s="1"/>
      <c r="G1" s="1"/>
      <c r="H1" s="1"/>
      <c r="I1" s="1"/>
      <c r="J1" s="1"/>
      <c r="K1" s="1"/>
      <c r="M1" s="1"/>
      <c r="N1" s="1"/>
      <c r="O1" s="3" t="s">
        <v>100</v>
      </c>
      <c r="R1" s="4"/>
      <c r="S1" s="4"/>
      <c r="T1" s="4"/>
      <c r="U1" s="4"/>
    </row>
    <row r="2" spans="1:23" ht="22" customHeight="1" thickBot="1">
      <c r="B2" s="119" t="s">
        <v>1</v>
      </c>
      <c r="C2" s="119"/>
      <c r="D2" s="6"/>
      <c r="E2" s="6"/>
      <c r="F2" s="6"/>
      <c r="G2" s="6"/>
      <c r="H2" s="6"/>
      <c r="I2" s="6"/>
      <c r="J2" s="6"/>
      <c r="K2" s="6"/>
      <c r="L2" s="6"/>
      <c r="M2" s="6"/>
      <c r="N2" s="6"/>
      <c r="O2" s="6"/>
    </row>
    <row r="3" spans="1:23" s="10" customFormat="1" ht="21" customHeight="1">
      <c r="B3" s="11" t="s">
        <v>2</v>
      </c>
      <c r="C3" s="12" t="s">
        <v>3</v>
      </c>
      <c r="D3" s="13" t="s">
        <v>101</v>
      </c>
      <c r="E3" s="13" t="s">
        <v>4</v>
      </c>
      <c r="F3" s="14" t="s">
        <v>5</v>
      </c>
      <c r="G3" s="14" t="s">
        <v>6</v>
      </c>
      <c r="H3" s="14" t="s">
        <v>7</v>
      </c>
      <c r="I3" s="108"/>
      <c r="J3" s="109"/>
      <c r="K3" s="109"/>
      <c r="L3" s="14" t="s">
        <v>8</v>
      </c>
      <c r="M3" s="14" t="s">
        <v>9</v>
      </c>
      <c r="N3" s="14" t="s">
        <v>10</v>
      </c>
      <c r="O3" s="15" t="s">
        <v>11</v>
      </c>
      <c r="Q3" s="7"/>
      <c r="R3" s="16"/>
      <c r="S3" s="16"/>
      <c r="T3" s="9"/>
      <c r="U3" s="9"/>
    </row>
    <row r="4" spans="1:23" s="10" customFormat="1" ht="60.25" customHeight="1">
      <c r="B4" s="17" t="s">
        <v>12</v>
      </c>
      <c r="C4" s="18" t="s">
        <v>12</v>
      </c>
      <c r="D4" s="18" t="s">
        <v>13</v>
      </c>
      <c r="E4" s="18" t="s">
        <v>13</v>
      </c>
      <c r="F4" s="19"/>
      <c r="G4" s="19"/>
      <c r="H4" s="19"/>
      <c r="I4" s="110"/>
      <c r="J4" s="110"/>
      <c r="K4" s="110"/>
      <c r="L4" s="19"/>
      <c r="M4" s="19"/>
      <c r="N4" s="19"/>
      <c r="O4" s="20"/>
      <c r="P4" s="21"/>
      <c r="Q4" s="7" t="e">
        <f>SUM(E4+F4+G4+H4+L4+M4+N4+O4)</f>
        <v>#VALUE!</v>
      </c>
      <c r="R4" s="16"/>
      <c r="S4" s="16">
        <v>15</v>
      </c>
      <c r="T4" s="9"/>
      <c r="U4" s="9"/>
    </row>
    <row r="5" spans="1:23" ht="23.25" customHeight="1">
      <c r="B5" s="120"/>
      <c r="C5" s="121"/>
      <c r="D5" s="121"/>
      <c r="E5" s="121"/>
      <c r="F5" s="22"/>
      <c r="G5" s="22"/>
      <c r="H5" s="22"/>
      <c r="I5" s="83" t="s">
        <v>14</v>
      </c>
      <c r="J5" s="83"/>
      <c r="K5" s="83"/>
      <c r="L5" s="22"/>
      <c r="M5" s="22"/>
      <c r="N5" s="22"/>
      <c r="O5" s="23"/>
      <c r="P5" s="21"/>
    </row>
    <row r="6" spans="1:23" s="10" customFormat="1" ht="21" customHeight="1">
      <c r="B6" s="24" t="s">
        <v>15</v>
      </c>
      <c r="C6" s="25" t="s">
        <v>16</v>
      </c>
      <c r="D6" s="26" t="s">
        <v>17</v>
      </c>
      <c r="E6" s="26" t="s">
        <v>18</v>
      </c>
      <c r="F6" s="27" t="s">
        <v>19</v>
      </c>
      <c r="G6" s="27" t="s">
        <v>20</v>
      </c>
      <c r="H6" s="28"/>
      <c r="I6" s="28"/>
      <c r="J6" s="29" t="s">
        <v>21</v>
      </c>
      <c r="K6" s="29" t="s">
        <v>22</v>
      </c>
      <c r="L6" s="29" t="s">
        <v>23</v>
      </c>
      <c r="M6" s="29" t="s">
        <v>24</v>
      </c>
      <c r="N6" s="29" t="s">
        <v>25</v>
      </c>
      <c r="O6" s="30" t="s">
        <v>26</v>
      </c>
      <c r="P6" s="21"/>
      <c r="Q6" s="7"/>
      <c r="R6" s="16"/>
      <c r="S6" s="16"/>
      <c r="T6" s="9"/>
      <c r="U6" s="9"/>
    </row>
    <row r="7" spans="1:23" s="31" customFormat="1" ht="60.25" customHeight="1" thickBot="1">
      <c r="B7" s="32" t="s">
        <v>27</v>
      </c>
      <c r="C7" s="33" t="s">
        <v>13</v>
      </c>
      <c r="D7" s="33" t="s">
        <v>13</v>
      </c>
      <c r="E7" s="33" t="s">
        <v>13</v>
      </c>
      <c r="F7" s="34"/>
      <c r="G7" s="34"/>
      <c r="H7" s="35"/>
      <c r="I7" s="36"/>
      <c r="J7" s="34"/>
      <c r="K7" s="34"/>
      <c r="L7" s="34"/>
      <c r="M7" s="34"/>
      <c r="N7" s="34"/>
      <c r="O7" s="37"/>
      <c r="P7" s="21"/>
      <c r="Q7" s="7" t="e">
        <f>SUM(E7+F7+G7+J7+K7+L7+M7+N7+O7)</f>
        <v>#VALUE!</v>
      </c>
      <c r="R7" s="8"/>
      <c r="S7" s="8"/>
      <c r="T7" s="9"/>
      <c r="U7" s="9"/>
    </row>
    <row r="8" spans="1:23" ht="12" customHeight="1">
      <c r="B8" s="38"/>
      <c r="C8" s="38"/>
      <c r="D8" s="38"/>
      <c r="E8" s="38"/>
      <c r="G8" s="40"/>
      <c r="K8" s="41"/>
      <c r="L8" s="41"/>
      <c r="P8" s="21"/>
    </row>
    <row r="9" spans="1:23" ht="7.5" customHeight="1">
      <c r="P9" s="21"/>
    </row>
    <row r="10" spans="1:23" ht="22" customHeight="1" thickBot="1">
      <c r="B10" s="107" t="s">
        <v>28</v>
      </c>
      <c r="C10" s="107"/>
      <c r="O10" s="42"/>
      <c r="P10" s="21"/>
    </row>
    <row r="11" spans="1:23" s="10" customFormat="1" ht="21" customHeight="1">
      <c r="B11" s="43" t="s">
        <v>29</v>
      </c>
      <c r="C11" s="44" t="s">
        <v>30</v>
      </c>
      <c r="D11" s="44" t="s">
        <v>31</v>
      </c>
      <c r="E11" s="44" t="s">
        <v>32</v>
      </c>
      <c r="F11" s="44" t="s">
        <v>33</v>
      </c>
      <c r="G11" s="44" t="s">
        <v>34</v>
      </c>
      <c r="H11" s="44" t="s">
        <v>35</v>
      </c>
      <c r="I11" s="108"/>
      <c r="J11" s="109"/>
      <c r="K11" s="109"/>
      <c r="L11" s="44" t="s">
        <v>36</v>
      </c>
      <c r="M11" s="44" t="s">
        <v>37</v>
      </c>
      <c r="N11" s="44" t="s">
        <v>38</v>
      </c>
      <c r="O11" s="45" t="s">
        <v>39</v>
      </c>
      <c r="P11" s="21"/>
      <c r="Q11" s="7"/>
      <c r="R11" s="16"/>
      <c r="S11" s="16"/>
      <c r="T11" s="9"/>
      <c r="U11" s="9"/>
    </row>
    <row r="12" spans="1:23" s="46" customFormat="1" ht="60.25" customHeight="1">
      <c r="B12" s="47"/>
      <c r="C12" s="19"/>
      <c r="D12" s="19"/>
      <c r="E12" s="19"/>
      <c r="F12" s="19"/>
      <c r="G12" s="19"/>
      <c r="H12" s="19"/>
      <c r="I12" s="110"/>
      <c r="J12" s="110"/>
      <c r="K12" s="110"/>
      <c r="L12" s="19"/>
      <c r="M12" s="19"/>
      <c r="N12" s="19"/>
      <c r="O12" s="48" t="s">
        <v>40</v>
      </c>
      <c r="P12" s="21"/>
      <c r="Q12" s="49">
        <f>SUM(B12+C12+D12+E12+F12+G12+H12+L12+M12+N12)</f>
        <v>0</v>
      </c>
      <c r="R12" s="50"/>
      <c r="S12" s="50">
        <v>24</v>
      </c>
      <c r="T12" s="51"/>
      <c r="U12" s="51"/>
      <c r="W12" s="46" t="s">
        <v>41</v>
      </c>
    </row>
    <row r="13" spans="1:23" ht="21" customHeight="1">
      <c r="B13" s="52"/>
      <c r="C13" s="53"/>
      <c r="D13" s="53"/>
      <c r="E13" s="53"/>
      <c r="F13" s="53"/>
      <c r="G13" s="54" t="s">
        <v>42</v>
      </c>
      <c r="H13" s="54"/>
      <c r="I13" s="106" t="s">
        <v>14</v>
      </c>
      <c r="J13" s="106"/>
      <c r="K13" s="106"/>
      <c r="L13" s="54"/>
      <c r="M13" s="54"/>
      <c r="N13" s="54"/>
      <c r="O13" s="55" t="s">
        <v>43</v>
      </c>
      <c r="P13" s="21"/>
    </row>
    <row r="14" spans="1:23" s="10" customFormat="1" ht="21" customHeight="1">
      <c r="B14" s="56" t="s">
        <v>44</v>
      </c>
      <c r="C14" s="57" t="s">
        <v>45</v>
      </c>
      <c r="D14" s="57" t="s">
        <v>46</v>
      </c>
      <c r="E14" s="57" t="s">
        <v>47</v>
      </c>
      <c r="F14" s="57" t="s">
        <v>48</v>
      </c>
      <c r="G14" s="57" t="s">
        <v>49</v>
      </c>
      <c r="H14" s="57" t="s">
        <v>50</v>
      </c>
      <c r="I14" s="57" t="s">
        <v>51</v>
      </c>
      <c r="J14" s="57" t="s">
        <v>52</v>
      </c>
      <c r="K14" s="57" t="s">
        <v>53</v>
      </c>
      <c r="L14" s="57" t="s">
        <v>54</v>
      </c>
      <c r="M14" s="57" t="s">
        <v>55</v>
      </c>
      <c r="N14" s="57" t="s">
        <v>56</v>
      </c>
      <c r="O14" s="58" t="s">
        <v>57</v>
      </c>
      <c r="P14" s="21"/>
      <c r="Q14" s="7"/>
      <c r="R14" s="16"/>
      <c r="S14" s="16"/>
      <c r="T14" s="9"/>
      <c r="U14" s="9"/>
    </row>
    <row r="15" spans="1:23" s="59" customFormat="1" ht="60.25" customHeight="1" thickBot="1">
      <c r="B15" s="60"/>
      <c r="C15" s="34"/>
      <c r="D15" s="34"/>
      <c r="E15" s="34"/>
      <c r="F15" s="34"/>
      <c r="G15" s="34"/>
      <c r="H15" s="34"/>
      <c r="I15" s="34"/>
      <c r="J15" s="34"/>
      <c r="K15" s="34"/>
      <c r="L15" s="34"/>
      <c r="M15" s="34"/>
      <c r="N15" s="34"/>
      <c r="O15" s="37"/>
      <c r="P15" s="21"/>
      <c r="Q15" s="7">
        <f>SUM(B15:O15)</f>
        <v>0</v>
      </c>
      <c r="R15" s="16"/>
      <c r="S15" s="16"/>
      <c r="T15" s="9">
        <v>0</v>
      </c>
      <c r="U15" s="9"/>
    </row>
    <row r="16" spans="1:23" s="46" customFormat="1" ht="11.25" customHeight="1">
      <c r="B16" s="61"/>
      <c r="C16" s="61"/>
      <c r="D16" s="61"/>
      <c r="E16" s="61"/>
      <c r="F16" s="61"/>
      <c r="G16" s="61"/>
      <c r="H16" s="41"/>
      <c r="I16" s="41"/>
      <c r="J16" s="61"/>
      <c r="K16" s="61"/>
      <c r="L16" s="61"/>
      <c r="M16" s="61"/>
      <c r="N16" s="61"/>
      <c r="O16" s="61"/>
      <c r="P16" s="21"/>
      <c r="Q16" s="49"/>
      <c r="R16" s="50"/>
      <c r="S16" s="50"/>
      <c r="T16" s="51"/>
      <c r="U16" s="51"/>
    </row>
    <row r="17" spans="2:21" ht="21.75" customHeight="1" thickBot="1">
      <c r="B17" s="107" t="s">
        <v>58</v>
      </c>
      <c r="C17" s="107"/>
      <c r="O17" s="42"/>
      <c r="P17" s="21"/>
    </row>
    <row r="18" spans="2:21" s="10" customFormat="1" ht="22" customHeight="1">
      <c r="B18" s="62" t="s">
        <v>59</v>
      </c>
      <c r="C18" s="63" t="s">
        <v>60</v>
      </c>
      <c r="D18" s="63" t="s">
        <v>61</v>
      </c>
      <c r="E18" s="63" t="s">
        <v>62</v>
      </c>
      <c r="F18" s="63" t="s">
        <v>63</v>
      </c>
      <c r="G18" s="63" t="s">
        <v>64</v>
      </c>
      <c r="H18" s="63" t="s">
        <v>65</v>
      </c>
      <c r="I18" s="108"/>
      <c r="J18" s="109"/>
      <c r="K18" s="109"/>
      <c r="L18" s="63" t="s">
        <v>66</v>
      </c>
      <c r="M18" s="63" t="s">
        <v>67</v>
      </c>
      <c r="N18" s="63" t="s">
        <v>68</v>
      </c>
      <c r="O18" s="64" t="s">
        <v>69</v>
      </c>
      <c r="P18" s="21"/>
      <c r="Q18" s="7"/>
      <c r="R18" s="16"/>
      <c r="S18" s="16"/>
      <c r="T18" s="9"/>
      <c r="U18" s="9"/>
    </row>
    <row r="19" spans="2:21" s="46" customFormat="1" ht="60.25" customHeight="1">
      <c r="B19" s="47"/>
      <c r="C19" s="19"/>
      <c r="D19" s="19"/>
      <c r="E19" s="19"/>
      <c r="F19" s="19"/>
      <c r="G19" s="19"/>
      <c r="H19" s="19"/>
      <c r="I19" s="110"/>
      <c r="J19" s="110"/>
      <c r="K19" s="110"/>
      <c r="L19" s="65"/>
      <c r="M19" s="19"/>
      <c r="N19" s="19"/>
      <c r="O19" s="66"/>
      <c r="P19" s="21"/>
      <c r="Q19" s="49">
        <f>SUM(B19+C19+D19+E19+F19+G19+H19+L19+M19+N19+O19)</f>
        <v>0</v>
      </c>
      <c r="R19" s="50"/>
      <c r="S19" s="50"/>
      <c r="T19" s="51"/>
      <c r="U19" s="51"/>
    </row>
    <row r="20" spans="2:21" ht="20.5" customHeight="1">
      <c r="B20" s="67"/>
      <c r="C20" s="68"/>
      <c r="D20" s="69"/>
      <c r="E20" s="70" t="s">
        <v>70</v>
      </c>
      <c r="F20" s="70"/>
      <c r="G20" s="53"/>
      <c r="H20" s="70"/>
      <c r="I20" s="111" t="s">
        <v>14</v>
      </c>
      <c r="J20" s="111"/>
      <c r="K20" s="111"/>
      <c r="L20" s="53"/>
      <c r="M20" s="53"/>
      <c r="N20" s="53"/>
      <c r="O20" s="55"/>
      <c r="P20" s="21"/>
    </row>
    <row r="21" spans="2:21" s="10" customFormat="1" ht="21" customHeight="1">
      <c r="B21" s="71" t="s">
        <v>71</v>
      </c>
      <c r="C21" s="72" t="s">
        <v>72</v>
      </c>
      <c r="D21" s="72" t="s">
        <v>73</v>
      </c>
      <c r="E21" s="72" t="s">
        <v>74</v>
      </c>
      <c r="F21" s="72" t="s">
        <v>75</v>
      </c>
      <c r="G21" s="72" t="s">
        <v>76</v>
      </c>
      <c r="H21" s="72" t="s">
        <v>77</v>
      </c>
      <c r="I21" s="72" t="s">
        <v>78</v>
      </c>
      <c r="J21" s="72" t="s">
        <v>79</v>
      </c>
      <c r="K21" s="72" t="s">
        <v>80</v>
      </c>
      <c r="L21" s="29" t="s">
        <v>81</v>
      </c>
      <c r="M21" s="29" t="s">
        <v>82</v>
      </c>
      <c r="N21" s="29" t="s">
        <v>83</v>
      </c>
      <c r="O21" s="30" t="s">
        <v>84</v>
      </c>
      <c r="P21" s="21"/>
      <c r="Q21" s="7"/>
      <c r="R21" s="16"/>
      <c r="S21" s="16"/>
      <c r="T21" s="9"/>
      <c r="U21" s="9"/>
    </row>
    <row r="22" spans="2:21" s="46" customFormat="1" ht="60.25" customHeight="1" thickBot="1">
      <c r="B22" s="60"/>
      <c r="C22" s="34"/>
      <c r="D22" s="34"/>
      <c r="E22" s="34"/>
      <c r="F22" s="34"/>
      <c r="G22" s="34"/>
      <c r="H22" s="34"/>
      <c r="I22" s="34"/>
      <c r="J22" s="34"/>
      <c r="K22" s="34"/>
      <c r="L22" s="34"/>
      <c r="M22" s="34"/>
      <c r="N22" s="34"/>
      <c r="O22" s="37"/>
      <c r="P22" s="73"/>
      <c r="Q22" s="49">
        <f>SUM(B22:O22)</f>
        <v>0</v>
      </c>
      <c r="R22" s="50"/>
      <c r="S22" s="50">
        <v>11</v>
      </c>
      <c r="T22" s="51"/>
      <c r="U22" s="51"/>
    </row>
    <row r="23" spans="2:21" ht="10.5" customHeight="1">
      <c r="E23" s="38"/>
      <c r="P23" s="74"/>
    </row>
    <row r="24" spans="2:21" ht="22" customHeight="1" thickBot="1">
      <c r="B24" s="107" t="s">
        <v>85</v>
      </c>
      <c r="C24" s="107"/>
      <c r="P24" s="74"/>
    </row>
    <row r="25" spans="2:21" s="10" customFormat="1" ht="21" customHeight="1">
      <c r="B25" s="112" t="s">
        <v>86</v>
      </c>
      <c r="C25" s="113"/>
      <c r="D25" s="116" t="s">
        <v>87</v>
      </c>
      <c r="E25" s="117"/>
      <c r="F25" s="117"/>
      <c r="G25" s="118"/>
      <c r="H25" s="98" t="s">
        <v>88</v>
      </c>
      <c r="I25" s="98"/>
      <c r="J25" s="98" t="s">
        <v>89</v>
      </c>
      <c r="K25" s="98"/>
      <c r="L25" s="98" t="s">
        <v>90</v>
      </c>
      <c r="M25" s="98"/>
      <c r="N25" s="98" t="s">
        <v>91</v>
      </c>
      <c r="O25" s="99"/>
      <c r="P25" s="74"/>
      <c r="Q25" s="7"/>
      <c r="R25" s="16"/>
      <c r="S25" s="16"/>
      <c r="T25" s="9"/>
      <c r="U25" s="9"/>
    </row>
    <row r="26" spans="2:21" s="31" customFormat="1" ht="49.5" customHeight="1">
      <c r="B26" s="114"/>
      <c r="C26" s="115"/>
      <c r="D26" s="100"/>
      <c r="E26" s="101"/>
      <c r="F26" s="101"/>
      <c r="G26" s="102"/>
      <c r="H26" s="103"/>
      <c r="I26" s="103"/>
      <c r="J26" s="104"/>
      <c r="K26" s="104"/>
      <c r="L26" s="104"/>
      <c r="M26" s="104"/>
      <c r="N26" s="104"/>
      <c r="O26" s="105"/>
      <c r="P26" s="74"/>
      <c r="Q26" s="7">
        <f>SUM(D26:O26)</f>
        <v>0</v>
      </c>
      <c r="R26" s="8"/>
      <c r="S26" s="8"/>
      <c r="T26" s="9"/>
      <c r="U26" s="9"/>
    </row>
    <row r="27" spans="2:21" ht="19.5" customHeight="1">
      <c r="B27" s="75"/>
      <c r="C27" s="76"/>
      <c r="D27" s="83" t="s">
        <v>92</v>
      </c>
      <c r="E27" s="83"/>
      <c r="F27" s="83"/>
      <c r="G27" s="83"/>
      <c r="H27" s="83"/>
      <c r="I27" s="83"/>
      <c r="J27" s="83"/>
      <c r="K27" s="83"/>
      <c r="L27" s="83"/>
      <c r="M27" s="83"/>
      <c r="N27" s="83"/>
      <c r="O27" s="84"/>
      <c r="P27" s="74"/>
    </row>
    <row r="28" spans="2:21" s="10" customFormat="1" ht="21" customHeight="1">
      <c r="B28" s="85" t="s">
        <v>93</v>
      </c>
      <c r="C28" s="86"/>
      <c r="D28" s="89" t="s">
        <v>94</v>
      </c>
      <c r="E28" s="90"/>
      <c r="F28" s="90"/>
      <c r="G28" s="91"/>
      <c r="H28" s="92" t="s">
        <v>95</v>
      </c>
      <c r="I28" s="92"/>
      <c r="J28" s="92" t="s">
        <v>96</v>
      </c>
      <c r="K28" s="92"/>
      <c r="L28" s="92" t="s">
        <v>97</v>
      </c>
      <c r="M28" s="92"/>
      <c r="N28" s="92" t="s">
        <v>98</v>
      </c>
      <c r="O28" s="93"/>
      <c r="P28" s="74"/>
      <c r="Q28" s="7"/>
      <c r="R28" s="16"/>
      <c r="S28" s="16"/>
      <c r="T28" s="9"/>
      <c r="U28" s="9"/>
    </row>
    <row r="29" spans="2:21" s="31" customFormat="1" ht="52.75" customHeight="1" thickBot="1">
      <c r="B29" s="87"/>
      <c r="C29" s="88"/>
      <c r="D29" s="94"/>
      <c r="E29" s="95"/>
      <c r="F29" s="95"/>
      <c r="G29" s="96"/>
      <c r="H29" s="80"/>
      <c r="I29" s="80"/>
      <c r="J29" s="97"/>
      <c r="K29" s="97"/>
      <c r="L29" s="80"/>
      <c r="M29" s="80"/>
      <c r="N29" s="80"/>
      <c r="O29" s="81"/>
      <c r="P29" s="74"/>
      <c r="Q29" s="7">
        <f>SUM(D29:O29)</f>
        <v>0</v>
      </c>
      <c r="R29" s="8"/>
      <c r="S29" s="8"/>
      <c r="T29" s="9"/>
      <c r="U29" s="9"/>
    </row>
    <row r="30" spans="2:21" s="79" customFormat="1">
      <c r="B30" s="77"/>
      <c r="C30" s="77"/>
      <c r="D30" s="77"/>
      <c r="E30" s="77"/>
      <c r="F30" s="77"/>
      <c r="G30" s="77"/>
      <c r="H30" s="77"/>
      <c r="I30" s="77"/>
      <c r="J30" s="77"/>
      <c r="K30" s="77"/>
      <c r="L30" s="77"/>
      <c r="M30" s="77"/>
      <c r="N30" s="77"/>
      <c r="O30" s="77"/>
      <c r="P30" s="82"/>
      <c r="Q30" s="78" t="e">
        <f>SUM(Q4+Q7+Q12+Q15+Q19+Q22+Q26+Q29)</f>
        <v>#VALUE!</v>
      </c>
      <c r="R30" s="16"/>
      <c r="S30" s="16"/>
      <c r="T30" s="9"/>
      <c r="U30" s="9"/>
    </row>
    <row r="31" spans="2:21">
      <c r="P31" s="82"/>
    </row>
    <row r="34" spans="4:7">
      <c r="D34" s="39" t="s">
        <v>99</v>
      </c>
    </row>
    <row r="36" spans="4:7">
      <c r="G36" s="40"/>
    </row>
  </sheetData>
  <mergeCells count="35">
    <mergeCell ref="B25:C26"/>
    <mergeCell ref="D25:G25"/>
    <mergeCell ref="H25:I25"/>
    <mergeCell ref="J25:K25"/>
    <mergeCell ref="B2:C2"/>
    <mergeCell ref="I3:K4"/>
    <mergeCell ref="B5:E5"/>
    <mergeCell ref="I5:K5"/>
    <mergeCell ref="B10:C10"/>
    <mergeCell ref="I11:K12"/>
    <mergeCell ref="I13:K13"/>
    <mergeCell ref="B17:C17"/>
    <mergeCell ref="I18:K19"/>
    <mergeCell ref="I20:K20"/>
    <mergeCell ref="B24:C24"/>
    <mergeCell ref="L25:M25"/>
    <mergeCell ref="N25:O25"/>
    <mergeCell ref="D26:G26"/>
    <mergeCell ref="H26:I26"/>
    <mergeCell ref="J26:K26"/>
    <mergeCell ref="L26:M26"/>
    <mergeCell ref="N26:O26"/>
    <mergeCell ref="L29:M29"/>
    <mergeCell ref="N29:O29"/>
    <mergeCell ref="P30:P31"/>
    <mergeCell ref="D27:O27"/>
    <mergeCell ref="B28:C29"/>
    <mergeCell ref="D28:G28"/>
    <mergeCell ref="H28:I28"/>
    <mergeCell ref="J28:K28"/>
    <mergeCell ref="L28:M28"/>
    <mergeCell ref="N28:O28"/>
    <mergeCell ref="D29:G29"/>
    <mergeCell ref="H29:I29"/>
    <mergeCell ref="J29:K29"/>
  </mergeCells>
  <phoneticPr fontId="2" type="noConversion"/>
  <printOptions horizontalCentered="1" verticalCentered="1"/>
  <pageMargins left="0.23622047244094491" right="0.23622047244094491" top="0.19685039370078741" bottom="0.19685039370078741" header="0.31496062992125984" footer="0.31496062992125984"/>
  <pageSetup paperSize="9" scale="60" orientation="landscape" cellComments="asDisplayed" r:id="rId1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Macintosh Excel</Application>
  <DocSecurity>0</DocSecurity>
  <ScaleCrop>false</ScaleCrop>
  <HeadingPairs>
    <vt:vector size="4" baseType="variant">
      <vt:variant>
        <vt:lpstr>워크시트</vt:lpstr>
      </vt:variant>
      <vt:variant>
        <vt:i4>1</vt:i4>
      </vt:variant>
      <vt:variant>
        <vt:lpstr>이름 지정된 범위</vt:lpstr>
      </vt:variant>
      <vt:variant>
        <vt:i4>1</vt:i4>
      </vt:variant>
    </vt:vector>
  </HeadingPairs>
  <TitlesOfParts>
    <vt:vector size="2" baseType="lpstr">
      <vt:lpstr>객실배치도</vt:lpstr>
      <vt:lpstr>객실배치도!Print_Area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EXZ6</dc:creator>
  <cp:lastModifiedBy>종범 최</cp:lastModifiedBy>
  <dcterms:created xsi:type="dcterms:W3CDTF">2026-07-15T08:33:37Z</dcterms:created>
  <dcterms:modified xsi:type="dcterms:W3CDTF">2026-07-21T13:52:22Z</dcterms:modified>
</cp:coreProperties>
</file>